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SPANet Ab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<sst xmlns="http://schemas.openxmlformats.org/spreadsheetml/2006/main" count="19" uniqueCount="19">
  <si>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SSPANet Component Ablation Study — ResNet50 Backbone, Figshare Brain Tumor Dataset</t>
  </si>
  <si>
    <t xml:space="preserve">Test-set results, single run per configuration, 224x224 input, Adam lr=1e-4, augmented training set</t>
  </si>
  <si>
    <t xml:space="preserve">Configuration</t>
  </si>
  <si>
    <t xml:space="preserve">Accuracy</t>
  </si>
  <si>
    <t xml:space="preserve">Precision</t>
  </si>
  <si>
    <t xml:space="preserve">Recall</t>
  </si>
  <si>
    <t xml:space="preserve">F1 Score</t>
  </si>
  <si>
    <t xml:space="preserve">Cohen's Kappa</t>
  </si>
  <si>
    <t xml:space="preserve">MCC</t>
  </si>
  <si>
    <t xml:space="preserve">Channel attention only</t>
  </si>
  <si>
    <t xml:space="preserve">Style pooling attention only</t>
  </si>
  <si>
    <t xml:space="preserve">Strip pooling attention only</t>
  </si>
  <si>
    <t xml:space="preserve">Full SSPANet (channel+strip+style)</t>
  </si>
  <si>
    <t xml:space="preserve">Average across configurations</t>
  </si>
  <si>
    <t xml:space="preserve">Best configuration (by Accuracy):</t>
  </si>
  <si>
    <t xml:space="preserve">Notes:</t>
  </si>
  <si>
    <t xml:space="preserve">- Single training run per configuration (no multi-seed averaging yet); differences under ~1 point should be treated cautiously given the 307-image test set.</t>
  </si>
  <si>
    <t xml:space="preserve">- 'Full SSPANet' performs on par with the weakest single branch (strip pooling), suggesting the three-branch fusion does not clearly outperform channel attention alone on this dataset.</t>
  </si>
  <si>
    <t xml:space="preserve">- Source: Kaggle notebook training run, ResNet50 backbone, Figshare brain tumor dataset (Cheng, 2017), 80/10/10 stratified split.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</si>
</sst>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0.9967</v>
      </c>
      <c r="C5" s="5" t="n">
        <v>0.9954</v>
      </c>
      <c r="D5" s="5" t="n">
        <v>0.9977</v>
      </c>
      <c r="E5" s="5" t="n">
        <v>0.9965</v>
      </c>
      <c r="F5" s="5" t="n">
        <v>0.9949</v>
      </c>
      <c r="G5" s="5" t="n">
        <v>0.9949</v>
      </c>
    </row>
    <row r="6" customFormat="false" ht="15" hidden="false" customHeight="false" outlineLevel="0" collapsed="false">
      <c r="A6" s="4" t="s">
        <v>10</v>
      </c>
      <c r="B6" s="5" t="n">
        <v>0.9935</v>
      </c>
      <c r="C6" s="5" t="n">
        <v>0.9909</v>
      </c>
      <c r="D6" s="5" t="n">
        <v>0.9953</v>
      </c>
      <c r="E6" s="5" t="n">
        <v>0.993</v>
      </c>
      <c r="F6" s="5" t="n">
        <v>0.9898</v>
      </c>
      <c r="G6" s="5" t="n">
        <v>0.9899</v>
      </c>
    </row>
    <row r="7" customFormat="false" ht="15" hidden="false" customHeight="false" outlineLevel="0" collapsed="false">
      <c r="A7" s="4" t="s">
        <v>11</v>
      </c>
      <c r="B7" s="5" t="n">
        <v>0.9837</v>
      </c>
      <c r="C7" s="5" t="n">
        <v>0.9835</v>
      </c>
      <c r="D7" s="5" t="n">
        <v>0.9789</v>
      </c>
      <c r="E7" s="5" t="n">
        <v>0.981</v>
      </c>
      <c r="F7" s="5" t="n">
        <v>0.9744</v>
      </c>
      <c r="G7" s="5" t="n">
        <v>0.9745</v>
      </c>
    </row>
    <row r="8" customFormat="false" ht="15" hidden="false" customHeight="false" outlineLevel="0" collapsed="false">
      <c r="A8" s="4" t="s">
        <v>12</v>
      </c>
      <c r="B8" s="5" t="n">
        <v>0.9837</v>
      </c>
      <c r="C8" s="5" t="n">
        <v>0.9791</v>
      </c>
      <c r="D8" s="5" t="n">
        <v>0.9836</v>
      </c>
      <c r="E8" s="5" t="n">
        <v>0.9813</v>
      </c>
      <c r="F8" s="5" t="n">
        <v>0.9745</v>
      </c>
      <c r="G8" s="5" t="n">
        <v>0.9747</v>
      </c>
    </row>
    <row r="9" customFormat="false" ht="15" hidden="false" customHeight="false" outlineLevel="0" collapsed="false">
      <c r="A9" s="6" t="s">
        <v>13</v>
      </c>
      <c r="B9" s="7" t="n">
        <f aca="false">AVERAGE(B5:B8)</f>
        <v>0.9894</v>
      </c>
      <c r="C9" s="7" t="n">
        <f aca="false">AVERAGE(C5:C8)</f>
        <v>0.987225</v>
      </c>
      <c r="D9" s="7" t="n">
        <f aca="false">AVERAGE(D5:D8)</f>
        <v>0.988875</v>
      </c>
      <c r="E9" s="7" t="n">
        <f aca="false">AVERAGE(E5:E8)</f>
        <v>0.98795</v>
      </c>
      <c r="F9" s="7" t="n">
        <f aca="false">AVERAGE(F5:F8)</f>
        <v>0.9834</v>
      </c>
      <c r="G9" s="7" t="n">
        <f aca="false">AVERAGE(G5:G8)</f>
        <v>0.9835</v>
      </c>
    </row>
    <row r="11" customFormat="false" ht="15" hidden="false" customHeight="false" outlineLevel="0" collapsed="false">
      <c r="A11" s="8" t="s">
        <v>14</v>
      </c>
      <c r="B11" s="9" t="str">
        <f aca="false">INDEX(A5:A8,MATCH(MAX(B5:B8),B5:B8,0))</f>
        <v>Channel attention only</v>
      </c>
      <c r="C11" s="9"/>
      <c r="D11" s="9"/>
    </row>
    <row r="13" customFormat="false" ht="15" hidden="false" customHeight="false" outlineLevel="0" collapsed="false">
      <c r="A13" s="8" t="s">
        <v>15</v>
      </c>
    </row>
    <row r="14" customFormat="false" ht="15" hidden="false" customHeight="false" outlineLevel="0" collapsed="false">
      <c r="A14" s="2" t="s">
        <v>16</v>
      </c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2" t="s">
        <v>17</v>
      </c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2" t="s">
        <v>18</v>
      </c>
      <c r="B16" s="2"/>
      <c r="C16" s="2"/>
      <c r="D16" s="2"/>
      <c r="E16" s="2"/>
      <c r="F16" s="2"/>
      <c r="G16" s="2"/>
    </row>
  </sheetData>
  <mergeCells count="6">
    <mergeCell ref="A1:G1"/>
    <mergeCell ref="A2:G2"/>
    <mergeCell ref="B11:D11"/>
    <mergeCell ref="A14:G14"/>
    <mergeCell ref="A15:G15"/>
    <mergeCell ref="A16:G16"/>
  </mergeCells>
  <conditionalFormatting sqref="B5:B8">
    <cfRule type="expression" priority="2" aboveAverage="0" equalAverage="0" bottom="0" percent="0" rank="0" text="" dxfId="0">
      <formula>B5=MAX($B$5:$B$8)</formula>
    </cfRule>
  </conditionalFormatting>
  <conditionalFormatting sqref="C5:C8">
    <cfRule type="expression" priority="3" aboveAverage="0" equalAverage="0" bottom="0" percent="0" rank="0" text="" dxfId="0">
      <formula>C5=MAX($C$5:$C$8)</formula>
    </cfRule>
  </conditionalFormatting>
  <conditionalFormatting sqref="D5:D8">
    <cfRule type="expression" priority="4" aboveAverage="0" equalAverage="0" bottom="0" percent="0" rank="0" text="" dxfId="0">
      <formula>D5=MAX($D$5:$D$8)</formula>
    </cfRule>
  </conditionalFormatting>
  <conditionalFormatting sqref="E5:E8">
    <cfRule type="expression" priority="5" aboveAverage="0" equalAverage="0" bottom="0" percent="0" rank="0" text="" dxfId="0">
      <formula>E5=MAX($E$5:$E$8)</formula>
    </cfRule>
  </conditionalFormatting>
  <conditionalFormatting sqref="F5:F8">
    <cfRule type="expression" priority="6" aboveAverage="0" equalAverage="0" bottom="0" percent="0" rank="0" text="" dxfId="0">
      <formula>F5=MAX($F$5:$F$8)</formula>
    </cfRule>
  </conditionalFormatting>
  <conditionalFormatting sqref="G5:G8">
    <cfRule type="expression" priority="7" aboveAverage="0" equalAverage="0" bottom="0" percent="0" rank="0" text="" dxfId="0">
      <formula>G5=MAX($G$5:$G$8)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2026-10-12T13:40:52Z</dcterms:created>
  <dc:creator>openpyxl</dc:creator>
  <dc:description/>
  <dc:language>en-US</dc:language>
  <cp:lastModifiedBy/>
  <dcterms:modified xsi:type="dcterms:W3CDTF">2026-10-12T13:40:52Z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