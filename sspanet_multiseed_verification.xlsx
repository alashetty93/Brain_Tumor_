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ti-seed Verific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<sst xmlns="http://schemas.openxmlformats.org/spreadsheetml/2006/main" count="31" uniqueCount="27">
  <si>
    <t xml:space="preserve">Multi-seed Verification — Channel-only vs. Full SSPANet (ResNet50, Figshare Brain Tumor Dataset)</t>
  </si>
  <si>
    <t xml:space="preserve">Confirms whether channel attention alone outperforms the full SSPANet fusion, across independent random seeds</t>
  </si>
  <si>
    <t xml:space="preserve">Run</t>
  </si>
  <si>
    <t xml:space="preserve">Configuration</t>
  </si>
  <si>
    <t xml:space="preserve">Accuracy</t>
  </si>
  <si>
    <t xml:space="preserve">Precision</t>
  </si>
  <si>
    <t xml:space="preserve">Recall</t>
  </si>
  <si>
    <t xml:space="preserve">F1 Score</t>
  </si>
  <si>
    <t xml:space="preserve">Cohen's Kappa</t>
  </si>
  <si>
    <t xml:space="preserve">MCC</t>
  </si>
  <si>
    <t xml:space="preserve">channel_only (original run)</t>
  </si>
  <si>
    <t xml:space="preserve">channel_only</t>
  </si>
  <si>
    <t xml:space="preserve">channel_only (seed 123)</t>
  </si>
  <si>
    <t xml:space="preserve">channel_only (seed 456)</t>
  </si>
  <si>
    <t xml:space="preserve">full_sspanet (original run)</t>
  </si>
  <si>
    <t xml:space="preserve">full_sspanet</t>
  </si>
  <si>
    <t xml:space="preserve">full_sspanet (seed 123)</t>
  </si>
  <si>
    <t xml:space="preserve">full_sspanet (seed 456)</t>
  </si>
  <si>
    <t xml:space="preserve">Mean — channel_only (3 seeds)</t>
  </si>
  <si>
    <t xml:space="preserve">Mean — full_sspanet (3 seeds)</t>
  </si>
  <si>
    <t xml:space="preserve">Gap (channel_only − full_sspanet)</t>
  </si>
  <si>
    <t xml:space="preserve">Verdict:</t>
  </si>
  <si>
    <t xml:space="preserve">Notes:</t>
  </si>
  <si>
    <t xml:space="preserve">- 3 independent runs per configuration (1 original + 2 additional seeds: 123, 456), same train/val/test split, same hyperparameters.</t>
  </si>
  <si>
    <t xml:space="preserve">- channel_only outperformed full_sspanet on accuracy in every seed, with a consistent ~0.65-1.3 point gap.</t>
  </si>
  <si>
    <t xml:space="preserve">- This supports treating 'channel attention alone outperforms the full three-branch fusion' as a reproducible finding rather than single-run noise.</t>
  </si>
  <si>
    <t xml:space="preserve">- Source: Kaggle notebook training runs, ResNet50 backbone, Figshare brain tumor dataset (Cheng, 2017), 80/10/10 stratified split, test set n=307.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</si>
</sst>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DDEBF7"/>
      </patternFill>
    </fill>
    <fill>
      <patternFill patternType="solid">
        <fgColor rgb="FFC6EFCE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6" min="3" style="0" width="12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6" t="n">
        <v>0.9967</v>
      </c>
      <c r="D5" s="6" t="n">
        <v>0.9954</v>
      </c>
      <c r="E5" s="6" t="n">
        <v>0.9977</v>
      </c>
      <c r="F5" s="6" t="n">
        <v>0.9965</v>
      </c>
      <c r="G5" s="6" t="n">
        <v>0.9949</v>
      </c>
      <c r="H5" s="6" t="n">
        <v>0.9949</v>
      </c>
    </row>
    <row r="6" customFormat="false" ht="15" hidden="false" customHeight="false" outlineLevel="0" collapsed="false">
      <c r="A6" s="4" t="s">
        <v>12</v>
      </c>
      <c r="B6" s="5" t="s">
        <v>11</v>
      </c>
      <c r="C6" s="6" t="n">
        <v>0.987</v>
      </c>
      <c r="D6" s="6" t="n">
        <v>0.9836</v>
      </c>
      <c r="E6" s="6" t="n">
        <v>0.9859</v>
      </c>
      <c r="F6" s="6" t="n">
        <v>0.9847</v>
      </c>
      <c r="G6" s="6" t="n">
        <v>0.9796</v>
      </c>
      <c r="H6" s="6" t="n">
        <v>0.9797</v>
      </c>
    </row>
    <row r="7" customFormat="false" ht="15" hidden="false" customHeight="false" outlineLevel="0" collapsed="false">
      <c r="A7" s="4" t="s">
        <v>13</v>
      </c>
      <c r="B7" s="5" t="s">
        <v>11</v>
      </c>
      <c r="C7" s="6" t="n">
        <v>0.9902</v>
      </c>
      <c r="D7" s="6" t="n">
        <v>0.9882</v>
      </c>
      <c r="E7" s="6" t="n">
        <v>0.9883</v>
      </c>
      <c r="F7" s="6" t="n">
        <v>0.9882</v>
      </c>
      <c r="G7" s="6" t="n">
        <v>0.9847</v>
      </c>
      <c r="H7" s="6" t="n">
        <v>0.9847</v>
      </c>
    </row>
    <row r="8" customFormat="false" ht="15" hidden="false" customHeight="false" outlineLevel="0" collapsed="false">
      <c r="A8" s="7" t="s">
        <v>14</v>
      </c>
      <c r="B8" s="8" t="s">
        <v>15</v>
      </c>
      <c r="C8" s="9" t="n">
        <v>0.9837</v>
      </c>
      <c r="D8" s="9" t="n">
        <v>0.9791</v>
      </c>
      <c r="E8" s="9" t="n">
        <v>0.9836</v>
      </c>
      <c r="F8" s="9" t="n">
        <v>0.9813</v>
      </c>
      <c r="G8" s="9" t="n">
        <v>0.9745</v>
      </c>
      <c r="H8" s="9" t="n">
        <v>0.9747</v>
      </c>
    </row>
    <row r="9" customFormat="false" ht="15" hidden="false" customHeight="false" outlineLevel="0" collapsed="false">
      <c r="A9" s="7" t="s">
        <v>16</v>
      </c>
      <c r="B9" s="8" t="s">
        <v>15</v>
      </c>
      <c r="C9" s="9" t="n">
        <v>0.9739</v>
      </c>
      <c r="D9" s="9" t="n">
        <v>0.9673</v>
      </c>
      <c r="E9" s="9" t="n">
        <v>0.979</v>
      </c>
      <c r="F9" s="9" t="n">
        <v>0.9725</v>
      </c>
      <c r="G9" s="9" t="n">
        <v>0.9594</v>
      </c>
      <c r="H9" s="9" t="n">
        <v>0.96</v>
      </c>
    </row>
    <row r="10" customFormat="false" ht="15" hidden="false" customHeight="false" outlineLevel="0" collapsed="false">
      <c r="A10" s="7" t="s">
        <v>17</v>
      </c>
      <c r="B10" s="8" t="s">
        <v>15</v>
      </c>
      <c r="C10" s="9" t="n">
        <v>0.9837</v>
      </c>
      <c r="D10" s="9" t="n">
        <v>0.9823</v>
      </c>
      <c r="E10" s="9" t="n">
        <v>0.9813</v>
      </c>
      <c r="F10" s="9" t="n">
        <v>0.9817</v>
      </c>
      <c r="G10" s="9" t="n">
        <v>0.9745</v>
      </c>
      <c r="H10" s="9" t="n">
        <v>0.9745</v>
      </c>
    </row>
    <row r="12" customFormat="false" ht="15" hidden="false" customHeight="false" outlineLevel="0" collapsed="false">
      <c r="A12" s="10" t="s">
        <v>18</v>
      </c>
      <c r="C12" s="11" t="n">
        <f aca="false">AVERAGE(C5:C7)</f>
        <v>0.9913</v>
      </c>
      <c r="D12" s="11" t="n">
        <f aca="false">AVERAGE(D5:D7)</f>
        <v>0.989066666666667</v>
      </c>
      <c r="E12" s="11" t="n">
        <f aca="false">AVERAGE(E5:E7)</f>
        <v>0.990633333333333</v>
      </c>
      <c r="F12" s="11" t="n">
        <f aca="false">AVERAGE(F5:F7)</f>
        <v>0.9898</v>
      </c>
      <c r="G12" s="11" t="n">
        <f aca="false">AVERAGE(G5:G7)</f>
        <v>0.9864</v>
      </c>
      <c r="H12" s="11" t="n">
        <f aca="false">AVERAGE(H5:H7)</f>
        <v>0.986433333333333</v>
      </c>
    </row>
    <row r="13" customFormat="false" ht="15" hidden="false" customHeight="false" outlineLevel="0" collapsed="false">
      <c r="A13" s="10" t="s">
        <v>19</v>
      </c>
      <c r="C13" s="11" t="n">
        <f aca="false">AVERAGE(C8:C10)</f>
        <v>0.980433333333333</v>
      </c>
      <c r="D13" s="11" t="n">
        <f aca="false">AVERAGE(D8:D10)</f>
        <v>0.976233333333333</v>
      </c>
      <c r="E13" s="11" t="n">
        <f aca="false">AVERAGE(E8:E10)</f>
        <v>0.9813</v>
      </c>
      <c r="F13" s="11" t="n">
        <f aca="false">AVERAGE(F8:F10)</f>
        <v>0.9785</v>
      </c>
      <c r="G13" s="11" t="n">
        <f aca="false">AVERAGE(G8:G10)</f>
        <v>0.969466666666667</v>
      </c>
      <c r="H13" s="11" t="n">
        <f aca="false">AVERAGE(H8:H10)</f>
        <v>0.969733333333333</v>
      </c>
    </row>
    <row r="14" customFormat="false" ht="15" hidden="false" customHeight="false" outlineLevel="0" collapsed="false">
      <c r="A14" s="12" t="s">
        <v>20</v>
      </c>
      <c r="C14" s="13" t="n">
        <f aca="false">C12-C13</f>
        <v>0.0108666666666666</v>
      </c>
      <c r="D14" s="13" t="n">
        <f aca="false">D12-D13</f>
        <v>0.0128333333333333</v>
      </c>
      <c r="E14" s="13" t="n">
        <f aca="false">E12-E13</f>
        <v>0.00933333333333319</v>
      </c>
      <c r="F14" s="13" t="n">
        <f aca="false">F12-F13</f>
        <v>0.0113000000000001</v>
      </c>
      <c r="G14" s="13" t="n">
        <f aca="false">G12-G13</f>
        <v>0.0169333333333332</v>
      </c>
      <c r="H14" s="13" t="n">
        <f aca="false">H12-H13</f>
        <v>0.0166999999999998</v>
      </c>
    </row>
    <row r="16" customFormat="false" ht="15" hidden="false" customHeight="false" outlineLevel="0" collapsed="false">
      <c r="A16" s="10" t="s">
        <v>21</v>
      </c>
      <c r="B16" s="14" t="str">
        <f aca="false">IF(AND(C5&gt;C8,C6&gt;C9,C7&gt;C10),"Confirmed: channel_only beat full_sspanet on accuracy in all 3 seeds","Not confirmed in all seeds")</f>
        <v>Confirmed: channel_only beat full_sspanet on accuracy in all 3 seeds</v>
      </c>
      <c r="C16" s="14"/>
      <c r="D16" s="14"/>
      <c r="E16" s="14"/>
      <c r="F16" s="14"/>
      <c r="G16" s="14"/>
      <c r="H16" s="14"/>
    </row>
    <row r="18" customFormat="false" ht="15" hidden="false" customHeight="false" outlineLevel="0" collapsed="false">
      <c r="A18" s="10" t="s">
        <v>22</v>
      </c>
    </row>
    <row r="19" customFormat="false" ht="15" hidden="false" customHeight="false" outlineLevel="0" collapsed="false">
      <c r="A19" s="2" t="s">
        <v>23</v>
      </c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" t="s">
        <v>24</v>
      </c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2" t="s">
        <v>25</v>
      </c>
      <c r="B21" s="2"/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2" t="s">
        <v>26</v>
      </c>
      <c r="B22" s="2"/>
      <c r="C22" s="2"/>
      <c r="D22" s="2"/>
      <c r="E22" s="2"/>
      <c r="F22" s="2"/>
      <c r="G22" s="2"/>
      <c r="H22" s="2"/>
    </row>
  </sheetData>
  <mergeCells count="7">
    <mergeCell ref="A1:G1"/>
    <mergeCell ref="A2:G2"/>
    <mergeCell ref="B16:H16"/>
    <mergeCell ref="A19:H19"/>
    <mergeCell ref="A20:H20"/>
    <mergeCell ref="A21:H21"/>
    <mergeCell ref="A22:H22"/>
  </mergeCells>
  <conditionalFormatting sqref="C14:H14">
    <cfRule type="expression" priority="2" aboveAverage="0" equalAverage="0" bottom="0" percent="0" rank="0" text="" dxfId="0">
      <formula>C14&gt;0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2026-10-12T17:09:57Z</dcterms:created>
  <dc:creator>openpyxl</dc:creator>
  <dc:description/>
  <dc:language>en-US</dc:language>
  <cp:lastModifiedBy/>
  <dcterms:modified xsi:type="dcterms:W3CDTF">2026-10-12T17:09:57Z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